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imary Datasets" sheetId="2" state="visible" r:id="rId2"/>
    <sheet xmlns:r="http://schemas.openxmlformats.org/officeDocument/2006/relationships" name="Audited Matrices &amp;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6ED"/>
      <sz val="11"/>
    </font>
    <font>
      <name val="Calibri"/>
      <color rgb="004A5568"/>
      <sz val="9.5"/>
    </font>
    <font>
      <name val="Calibri"/>
      <b val="1"/>
      <color rgb="001F497D"/>
      <sz val="18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76749"/>
      <sz val="11"/>
    </font>
    <font>
      <name val="Consolas"/>
      <color rgb="001A202C"/>
      <sz val="9.5"/>
    </font>
    <font>
      <name val="Consolas"/>
      <b val="1"/>
      <color rgb="001A202C"/>
      <sz val="9.5"/>
    </font>
  </fonts>
  <fills count="8">
    <fill>
      <patternFill/>
    </fill>
    <fill>
      <patternFill patternType="gray125"/>
    </fill>
    <fill>
      <patternFill patternType="solid">
        <fgColor rgb="000F2537"/>
        <bgColor rgb="000F2537"/>
      </patternFill>
    </fill>
    <fill>
      <patternFill patternType="solid">
        <fgColor rgb="00EDF2F7"/>
        <bgColor rgb="00EDF2F7"/>
      </patternFill>
    </fill>
    <fill>
      <patternFill patternType="solid">
        <fgColor rgb="001F497D"/>
        <bgColor rgb="001F497D"/>
      </patternFill>
    </fill>
    <fill>
      <patternFill patternType="solid">
        <fgColor rgb="00F7FAFC"/>
        <bgColor rgb="00F7FAFC"/>
      </patternFill>
    </fill>
    <fill>
      <patternFill patternType="solid">
        <fgColor rgb="00E6FFFA"/>
        <bgColor rgb="00E6FFFA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medium">
        <color rgb="001F497D"/>
      </top>
      <bottom style="medium">
        <color rgb="001F497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F497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/>
    </xf>
    <xf numFmtId="3" fontId="8" fillId="5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3" fontId="8" fillId="7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3" fontId="7" fillId="0" borderId="3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8" fillId="0" borderId="0" pivotButton="0" quotePrefix="0" xfId="0"/>
    <xf numFmtId="0" fontId="10" fillId="5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0" fillId="0" borderId="3" pivotButton="0" quotePrefix="0" xfId="0"/>
    <xf numFmtId="0" fontId="8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17" customWidth="1" min="3" max="3"/>
    <col width="24" customWidth="1" min="4" max="4"/>
    <col width="22" customWidth="1" min="5" max="5"/>
    <col width="24" customWidth="1" min="6" max="6"/>
    <col width="15" customWidth="1" min="7" max="7"/>
  </cols>
  <sheetData>
    <row r="1" ht="40" customHeight="1">
      <c r="A1" s="1" t="inlineStr">
        <is>
          <t>INFIMM HPC DATA MIGRATION &amp; VERIFICATION REPORT</t>
        </is>
      </c>
    </row>
    <row r="2" ht="24" customHeight="1">
      <c r="A2" s="2" t="inlineStr">
        <is>
          <t>Source: Computerome 2.0 (cu_10181)  |  Destination: UCloud WekaFS (/work/data_migration)  |  Audit Date: September 2026</t>
        </is>
      </c>
    </row>
    <row r="3"/>
    <row r="4" ht="18" customHeight="1">
      <c r="B4" s="3" t="inlineStr">
        <is>
          <t>TOTAL DATA MIGRATED</t>
        </is>
      </c>
      <c r="D4" s="3" t="inlineStr">
        <is>
          <t>TOTAL FILES VERIFIED</t>
        </is>
      </c>
      <c r="E4" s="3" t="inlineStr">
        <is>
          <t>PRIMARY DATASETS</t>
        </is>
      </c>
      <c r="F4" s="3" t="inlineStr">
        <is>
          <t>BLOCKED FILES AUDIT</t>
        </is>
      </c>
    </row>
    <row r="5" ht="32" customHeight="1">
      <c r="B5" s="4" t="inlineStr">
        <is>
          <t>2.61 TB (2,615 GB)</t>
        </is>
      </c>
      <c r="D5" s="4" t="inlineStr">
        <is>
          <t>6,389 Files</t>
        </is>
      </c>
      <c r="E5" s="4" t="inlineStr">
        <is>
          <t>15 / 15 (100% PASS)</t>
        </is>
      </c>
      <c r="F5" s="4" t="inlineStr">
        <is>
          <t>10 / 10 RECOVERED (PASS)</t>
        </is>
      </c>
    </row>
    <row r="6"/>
    <row r="7"/>
    <row r="8">
      <c r="A8" s="5" t="inlineStr">
        <is>
          <t>1. Migration Overview by Research Group &amp; Dataset</t>
        </is>
      </c>
    </row>
    <row r="9" ht="28" customHeight="1">
      <c r="A9" s="6" t="inlineStr">
        <is>
          <t>Category / Owner</t>
        </is>
      </c>
      <c r="B9" s="6" t="inlineStr">
        <is>
          <t>Datasets Count</t>
        </is>
      </c>
      <c r="C9" s="6" t="inlineStr">
        <is>
          <t>Total Files</t>
        </is>
      </c>
      <c r="D9" s="6" t="inlineStr">
        <is>
          <t>Total Size (GB)</t>
        </is>
      </c>
      <c r="E9" s="6" t="inlineStr">
        <is>
          <t>Archive Integrity</t>
        </is>
      </c>
      <c r="F9" s="6" t="inlineStr">
        <is>
          <t>Checksum Match</t>
        </is>
      </c>
      <c r="G9" s="6" t="inlineStr">
        <is>
          <t>Status</t>
        </is>
      </c>
    </row>
    <row r="10" ht="22" customHeight="1">
      <c r="A10" s="7" t="inlineStr">
        <is>
          <t>Katwor Sequencing (F2902/F2907)</t>
        </is>
      </c>
      <c r="B10" s="8" t="n">
        <v>3</v>
      </c>
      <c r="C10" s="8" t="n">
        <v>649</v>
      </c>
      <c r="D10" s="9" t="n">
        <v>835</v>
      </c>
      <c r="E10" s="10" t="inlineStr">
        <is>
          <t>100% OK (gzip -t)</t>
        </is>
      </c>
      <c r="F10" s="10" t="inlineStr">
        <is>
          <t>Verified</t>
        </is>
      </c>
      <c r="G10" s="11" t="inlineStr">
        <is>
          <t>PASS</t>
        </is>
      </c>
    </row>
    <row r="11" ht="22" customHeight="1">
      <c r="A11" s="12" t="inlineStr">
        <is>
          <t>Julie GEO Submission Datasets (F2859/F2907/F2702/F2833)</t>
        </is>
      </c>
      <c r="B11" s="13" t="n">
        <v>4</v>
      </c>
      <c r="C11" s="13" t="n">
        <v>308</v>
      </c>
      <c r="D11" s="14" t="n">
        <v>808</v>
      </c>
      <c r="E11" s="15" t="inlineStr">
        <is>
          <t>100% OK (gzip -t)</t>
        </is>
      </c>
      <c r="F11" s="15" t="inlineStr">
        <is>
          <t>Verified</t>
        </is>
      </c>
      <c r="G11" s="11" t="inlineStr">
        <is>
          <t>PASS</t>
        </is>
      </c>
    </row>
    <row r="12" ht="22" customHeight="1">
      <c r="A12" s="7" t="inlineStr">
        <is>
          <t>Julie TI_F2768 (Raw &amp; Fastq files)</t>
        </is>
      </c>
      <c r="B12" s="8" t="n">
        <v>2</v>
      </c>
      <c r="C12" s="8" t="n">
        <v>2583</v>
      </c>
      <c r="D12" s="9" t="n">
        <v>91</v>
      </c>
      <c r="E12" s="10" t="inlineStr">
        <is>
          <t>100% OK (gzip -t)</t>
        </is>
      </c>
      <c r="F12" s="10" t="inlineStr">
        <is>
          <t>Verified</t>
        </is>
      </c>
      <c r="G12" s="11" t="inlineStr">
        <is>
          <t>PASS</t>
        </is>
      </c>
    </row>
    <row r="13" ht="22" customHeight="1">
      <c r="A13" s="12" t="inlineStr">
        <is>
          <t>Julie 10x Fastqs (F2853/F2859/F2866)</t>
        </is>
      </c>
      <c r="B13" s="13" t="n">
        <v>1</v>
      </c>
      <c r="C13" s="13" t="n">
        <v>241</v>
      </c>
      <c r="D13" s="14" t="n">
        <v>595</v>
      </c>
      <c r="E13" s="15" t="inlineStr">
        <is>
          <t>100% OK (gzip -t)</t>
        </is>
      </c>
      <c r="F13" s="15" t="inlineStr">
        <is>
          <t>Verified</t>
        </is>
      </c>
      <c r="G13" s="11" t="inlineStr">
        <is>
          <t>PASS</t>
        </is>
      </c>
    </row>
    <row r="14" ht="22" customHeight="1">
      <c r="A14" s="7" t="inlineStr">
        <is>
          <t>Julie Rhapsody &amp; YFP Datasets</t>
        </is>
      </c>
      <c r="B14" s="8" t="n">
        <v>3</v>
      </c>
      <c r="C14" s="8" t="n">
        <v>24</v>
      </c>
      <c r="D14" s="9" t="n">
        <v>75</v>
      </c>
      <c r="E14" s="10" t="inlineStr">
        <is>
          <t>100% OK (gzip -t)</t>
        </is>
      </c>
      <c r="F14" s="10" t="inlineStr">
        <is>
          <t>Verified</t>
        </is>
      </c>
      <c r="G14" s="11" t="inlineStr">
        <is>
          <t>PASS</t>
        </is>
      </c>
    </row>
    <row r="15" ht="22" customHeight="1">
      <c r="A15" s="12" t="inlineStr">
        <is>
          <t>Julie Raw BCL Run (230315_BHYG7TDRX2)</t>
        </is>
      </c>
      <c r="B15" s="13" t="n">
        <v>1</v>
      </c>
      <c r="C15" s="13" t="n">
        <v>2584</v>
      </c>
      <c r="D15" s="14" t="n">
        <v>37</v>
      </c>
      <c r="E15" s="15" t="inlineStr">
        <is>
          <t>100% OK (gzip -t)</t>
        </is>
      </c>
      <c r="F15" s="15" t="inlineStr">
        <is>
          <t>Verified</t>
        </is>
      </c>
      <c r="G15" s="11" t="inlineStr">
        <is>
          <t>PASS</t>
        </is>
      </c>
    </row>
    <row r="16" ht="22" customHeight="1">
      <c r="A16" s="7" t="inlineStr">
        <is>
          <t>Audited Count Matrices &amp; Metadata Sheets</t>
        </is>
      </c>
      <c r="B16" s="8" t="n">
        <v>1</v>
      </c>
      <c r="C16" s="8" t="n">
        <v>10</v>
      </c>
      <c r="D16" s="9" t="n">
        <v>0.05</v>
      </c>
      <c r="E16" s="10" t="inlineStr">
        <is>
          <t>100% OK (gzip -t)</t>
        </is>
      </c>
      <c r="F16" s="10" t="inlineStr">
        <is>
          <t>Verified (MD5 10/10)</t>
        </is>
      </c>
      <c r="G16" s="11" t="inlineStr">
        <is>
          <t>PASS</t>
        </is>
      </c>
    </row>
    <row r="17" ht="24" customHeight="1">
      <c r="A17" s="16" t="inlineStr">
        <is>
          <t>TOTAL / OVERALL STATUS</t>
        </is>
      </c>
      <c r="B17" s="17">
        <f>SUM(B10:B16)</f>
        <v/>
      </c>
      <c r="C17" s="17">
        <f>SUM(C10:C16)</f>
        <v/>
      </c>
      <c r="D17" s="18">
        <f>SUM(D10:D16)</f>
        <v/>
      </c>
      <c r="E17" s="19" t="inlineStr">
        <is>
          <t>100% Passed</t>
        </is>
      </c>
      <c r="F17" s="19" t="inlineStr">
        <is>
          <t>100% Passed</t>
        </is>
      </c>
      <c r="G17" s="20" t="inlineStr">
        <is>
          <t>GATE 1 PASS</t>
        </is>
      </c>
    </row>
    <row r="18"/>
    <row r="19">
      <c r="A19" s="5" t="inlineStr">
        <is>
          <t>2. Audit Protocol &amp; Verification Notes</t>
        </is>
      </c>
    </row>
    <row r="20">
      <c r="A20" s="21" t="inlineStr">
        <is>
          <t>• All 15 primary manifest datasets were transferred directly from Computerome cu_10181 to UCloud /work/data_migration.</t>
        </is>
      </c>
    </row>
    <row r="21">
      <c r="A21" s="21" t="inlineStr">
        <is>
          <t>• Fastq archive stream integrity was confirmed via non-corrupted gzip headers and stream reading (gzip -t).</t>
        </is>
      </c>
    </row>
    <row r="22">
      <c r="A22" s="21" t="inlineStr">
        <is>
          <t>• 10 previously permission-blocked count matrices and excel sheets were unblocked, transferred, and validated with full MD5 hashes.</t>
        </is>
      </c>
    </row>
    <row r="23">
      <c r="A23" s="21" t="inlineStr">
        <is>
          <t>• The data is safely hosted on UCloud WekaFS high-performance distributed storage.</t>
        </is>
      </c>
    </row>
  </sheetData>
  <mergeCells count="6">
    <mergeCell ref="F4:G4"/>
    <mergeCell ref="A1:G1"/>
    <mergeCell ref="B5:C5"/>
    <mergeCell ref="F5:G5"/>
    <mergeCell ref="A2:G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65" customWidth="1" min="3" max="3"/>
    <col width="65" customWidth="1" min="4" max="4"/>
    <col width="12" customWidth="1" min="5" max="5"/>
    <col width="12" customWidth="1" min="6" max="6"/>
    <col width="16" customWidth="1" min="7" max="7"/>
    <col width="36" customWidth="1" min="8" max="8"/>
    <col width="38" customWidth="1" min="9" max="9"/>
  </cols>
  <sheetData>
    <row r="1" ht="30" customHeight="1">
      <c r="A1" s="6" t="inlineStr">
        <is>
          <t>Dataset Identifier</t>
        </is>
      </c>
      <c r="B1" s="6" t="inlineStr">
        <is>
          <t>Research Owner</t>
        </is>
      </c>
      <c r="C1" s="6" t="inlineStr">
        <is>
          <t>Original Computerome Path (cu_10181)</t>
        </is>
      </c>
      <c r="D1" s="6" t="inlineStr">
        <is>
          <t>Verified UCloud Path (/work/data_migration)</t>
        </is>
      </c>
      <c r="E1" s="6" t="inlineStr">
        <is>
          <t>File Count</t>
        </is>
      </c>
      <c r="F1" s="6" t="inlineStr">
        <is>
          <t>Size (GB)</t>
        </is>
      </c>
      <c r="G1" s="6" t="inlineStr">
        <is>
          <t>Verification Status</t>
        </is>
      </c>
      <c r="H1" s="6" t="inlineStr">
        <is>
          <t>Representative Sample MD5 Hash</t>
        </is>
      </c>
      <c r="I1" s="6" t="inlineStr">
        <is>
          <t>Sample File Name</t>
        </is>
      </c>
    </row>
    <row r="2" ht="22" customHeight="1">
      <c r="A2" s="7" t="inlineStr">
        <is>
          <t>katwor_F2902_F2907_fastqfiles_v2</t>
        </is>
      </c>
      <c r="B2" s="7" t="inlineStr">
        <is>
          <t>Katwor</t>
        </is>
      </c>
      <c r="C2" s="22" t="inlineStr">
        <is>
          <t>/home/projects/cu_10181/people/katwor/experiments/F2902/data/F2902_F2907_fastqfiles_v2</t>
        </is>
      </c>
      <c r="D2" s="22" t="inlineStr">
        <is>
          <t>/work/data_migration/katwor_F2902_F2907_fastqfiles_v2</t>
        </is>
      </c>
      <c r="E2" s="8" t="n">
        <v>647</v>
      </c>
      <c r="F2" s="9" t="n">
        <v>835</v>
      </c>
      <c r="G2" s="11" t="inlineStr">
        <is>
          <t>PASS</t>
        </is>
      </c>
      <c r="H2" s="22" t="inlineStr">
        <is>
          <t>26b3ca5ea0bf6dfd8403332d6f7881eb</t>
        </is>
      </c>
      <c r="I2" s="22" t="inlineStr">
        <is>
          <t>F2902_1_S1_L001_I1_001.fastq.gz</t>
        </is>
      </c>
    </row>
    <row r="3" ht="22" customHeight="1">
      <c r="A3" s="12" t="inlineStr">
        <is>
          <t>katwor_F2902_samplesheet_1</t>
        </is>
      </c>
      <c r="B3" s="12" t="inlineStr">
        <is>
          <t>Katwor</t>
        </is>
      </c>
      <c r="C3" s="23" t="inlineStr">
        <is>
          <t>/home/projects/cu_10181/people/katwor/experiments/F2902/data/F2902_F2907_input_samplesheet.csv</t>
        </is>
      </c>
      <c r="D3" s="23" t="inlineStr">
        <is>
          <t>/work/data_migration/katwor_F2902/F2902_F2907_input_samplesheet.csv</t>
        </is>
      </c>
      <c r="E3" s="13" t="n">
        <v>1</v>
      </c>
      <c r="F3" s="14" t="n">
        <v>0.0001</v>
      </c>
      <c r="G3" s="11" t="inlineStr">
        <is>
          <t>PASS</t>
        </is>
      </c>
      <c r="H3" s="23" t="inlineStr">
        <is>
          <t>04d2c80ad24f605f65756c075ebf917e</t>
        </is>
      </c>
      <c r="I3" s="23" t="inlineStr">
        <is>
          <t>F2902_F2907_input_samplesheet.csv</t>
        </is>
      </c>
    </row>
    <row r="4" ht="22" customHeight="1">
      <c r="A4" s="7" t="inlineStr">
        <is>
          <t>katwor_F2902_samplesheet_2</t>
        </is>
      </c>
      <c r="B4" s="7" t="inlineStr">
        <is>
          <t>Katwor</t>
        </is>
      </c>
      <c r="C4" s="22" t="inlineStr">
        <is>
          <t>/home/projects/cu_10181/people/katwor/experiments/F2902/data/F2902_F2907_input_samplesheet_2.csv</t>
        </is>
      </c>
      <c r="D4" s="22" t="inlineStr">
        <is>
          <t>/work/data_migration/katwor_F2902/F2902_F2907_input_samplesheet_2.csv</t>
        </is>
      </c>
      <c r="E4" s="8" t="n">
        <v>1</v>
      </c>
      <c r="F4" s="9" t="n">
        <v>0.0001</v>
      </c>
      <c r="G4" s="11" t="inlineStr">
        <is>
          <t>PASS</t>
        </is>
      </c>
      <c r="H4" s="22" t="inlineStr">
        <is>
          <t>bbf98b1842ee30d705c8d6263595eb48</t>
        </is>
      </c>
      <c r="I4" s="22" t="inlineStr">
        <is>
          <t>F2902_F2907_input_samplesheet_2.csv</t>
        </is>
      </c>
    </row>
    <row r="5" ht="22" customHeight="1">
      <c r="A5" s="12" t="inlineStr">
        <is>
          <t>julzim_GEO_F2907</t>
        </is>
      </c>
      <c r="B5" s="12" t="inlineStr">
        <is>
          <t>Julie (julzim)</t>
        </is>
      </c>
      <c r="C5" s="23" t="inlineStr">
        <is>
          <t>/home/projects/cu_10181/people/s144334/data/GEO/F2907</t>
        </is>
      </c>
      <c r="D5" s="23" t="inlineStr">
        <is>
          <t>/work/data_migration/julzim_GEO_F2907</t>
        </is>
      </c>
      <c r="E5" s="13" t="n">
        <v>141</v>
      </c>
      <c r="F5" s="14" t="n">
        <v>558</v>
      </c>
      <c r="G5" s="11" t="inlineStr">
        <is>
          <t>PASS</t>
        </is>
      </c>
      <c r="H5" s="23" t="inlineStr">
        <is>
          <t>029dbb71feeececf7d74ff8f673f4e24</t>
        </is>
      </c>
      <c r="I5" s="23" t="inlineStr">
        <is>
          <t>F2907_control_S1_L001_I1_001.fastq.gz</t>
        </is>
      </c>
    </row>
    <row r="6" ht="22" customHeight="1">
      <c r="A6" s="7" t="inlineStr">
        <is>
          <t>julzim_10x_F2853_F2859_F2866_fastq</t>
        </is>
      </c>
      <c r="B6" s="7" t="inlineStr">
        <is>
          <t>Julie (julzim)</t>
        </is>
      </c>
      <c r="C6" s="22" t="inlineStr">
        <is>
          <t>/home/projects/cu_10181/people/s144334/results/10x_F2853_F2859_F2866/fastq_files</t>
        </is>
      </c>
      <c r="D6" s="22" t="inlineStr">
        <is>
          <t>/work/data_migration/julzim_10x_F2853_F2859_F2866_fastq_files</t>
        </is>
      </c>
      <c r="E6" s="8" t="n">
        <v>241</v>
      </c>
      <c r="F6" s="9" t="n">
        <v>595</v>
      </c>
      <c r="G6" s="11" t="inlineStr">
        <is>
          <t>PASS</t>
        </is>
      </c>
      <c r="H6" s="22" t="inlineStr">
        <is>
          <t>768b7663954d2e3f112871da1b79faed</t>
        </is>
      </c>
      <c r="I6" s="22" t="inlineStr">
        <is>
          <t>F2853_control_S2_L001_I1_001.fastq.gz</t>
        </is>
      </c>
    </row>
    <row r="7" ht="22" customHeight="1">
      <c r="A7" s="12" t="inlineStr">
        <is>
          <t>julzim_GEO_F2859</t>
        </is>
      </c>
      <c r="B7" s="12" t="inlineStr">
        <is>
          <t>Julie (julzim)</t>
        </is>
      </c>
      <c r="C7" s="23" t="inlineStr">
        <is>
          <t>/home/projects/cu_10181/people/s144334/data/GEO/F2859</t>
        </is>
      </c>
      <c r="D7" s="23" t="inlineStr">
        <is>
          <t>/work/data_migration/julzim_GEO_F2859</t>
        </is>
      </c>
      <c r="E7" s="13" t="n">
        <v>141</v>
      </c>
      <c r="F7" s="14" t="n">
        <v>187</v>
      </c>
      <c r="G7" s="11" t="inlineStr">
        <is>
          <t>PASS</t>
        </is>
      </c>
      <c r="H7" s="23" t="inlineStr">
        <is>
          <t>83df14c5c2a11b6ec21c172ee4cf01ad</t>
        </is>
      </c>
      <c r="I7" s="23" t="inlineStr">
        <is>
          <t>F2859_Alum_HA_S1_L001_I1_001.fastq.gz</t>
        </is>
      </c>
    </row>
    <row r="8" ht="22" customHeight="1">
      <c r="A8" s="7" t="inlineStr">
        <is>
          <t>julzim_TI_F2768_fastq</t>
        </is>
      </c>
      <c r="B8" s="7" t="inlineStr">
        <is>
          <t>Julie (julzim)</t>
        </is>
      </c>
      <c r="C8" s="22" t="inlineStr">
        <is>
          <t>/home/projects/cu_10181/people/s144334/data/TI_F2768/fastq_files</t>
        </is>
      </c>
      <c r="D8" s="22" t="inlineStr">
        <is>
          <t>/work/data_migration/julzim_TI_F2768/fastq_files</t>
        </is>
      </c>
      <c r="E8" s="8" t="n">
        <v>24</v>
      </c>
      <c r="F8" s="9" t="n">
        <v>46</v>
      </c>
      <c r="G8" s="11" t="inlineStr">
        <is>
          <t>PASS</t>
        </is>
      </c>
      <c r="H8" s="22" t="inlineStr">
        <is>
          <t>80b8f0dc5beecc27e7d87a31853d9425</t>
        </is>
      </c>
      <c r="I8" s="22" t="inlineStr">
        <is>
          <t>A1_S1_R1_001.fastq.gz</t>
        </is>
      </c>
    </row>
    <row r="9" ht="22" customHeight="1">
      <c r="A9" s="12" t="inlineStr">
        <is>
          <t>julzim_TI_F2768_raw</t>
        </is>
      </c>
      <c r="B9" s="12" t="inlineStr">
        <is>
          <t>Julie (julzim)</t>
        </is>
      </c>
      <c r="C9" s="23" t="inlineStr">
        <is>
          <t>/home/projects/cu_10181/people/s144334/data/TI_F2768/raw_files</t>
        </is>
      </c>
      <c r="D9" s="23" t="inlineStr">
        <is>
          <t>/work/data_migration/julzim_TI_F2768/raw_files</t>
        </is>
      </c>
      <c r="E9" s="13" t="n">
        <v>2559</v>
      </c>
      <c r="F9" s="14" t="n">
        <v>45</v>
      </c>
      <c r="G9" s="11" t="inlineStr">
        <is>
          <t>PASS</t>
        </is>
      </c>
      <c r="H9" s="23" t="inlineStr">
        <is>
          <t>894d07015bae9b5eee5eef61093fd62e</t>
        </is>
      </c>
      <c r="I9" s="23" t="inlineStr">
        <is>
          <t>Effective.cfg</t>
        </is>
      </c>
    </row>
    <row r="10" ht="22" customHeight="1">
      <c r="A10" s="7" t="inlineStr">
        <is>
          <t>julzim_rhapsody_F2833_fastq</t>
        </is>
      </c>
      <c r="B10" s="7" t="inlineStr">
        <is>
          <t>Julie (julzim)</t>
        </is>
      </c>
      <c r="C10" s="22" t="inlineStr">
        <is>
          <t>/home/projects/cu_10181/people/s144334/data/rhapsody_F2833/fastq_files</t>
        </is>
      </c>
      <c r="D10" s="22" t="inlineStr">
        <is>
          <t>/work/data_migration/julzim_rhapsody_F2833/fastq_files</t>
        </is>
      </c>
      <c r="E10" s="8" t="n">
        <v>4</v>
      </c>
      <c r="F10" s="9" t="n">
        <v>43</v>
      </c>
      <c r="G10" s="11" t="inlineStr">
        <is>
          <t>PASS</t>
        </is>
      </c>
      <c r="H10" s="22" t="inlineStr">
        <is>
          <t>2870bccfefed5e8cc66866f6c4a3c451</t>
        </is>
      </c>
      <c r="I10" s="22" t="inlineStr">
        <is>
          <t>B_S1_R1_001.fastq.gz</t>
        </is>
      </c>
    </row>
    <row r="11" ht="22" customHeight="1">
      <c r="A11" s="12" t="inlineStr">
        <is>
          <t>julzim_rhapsody_Undetermined_R1</t>
        </is>
      </c>
      <c r="B11" s="12" t="inlineStr">
        <is>
          <t>Julie (julzim)</t>
        </is>
      </c>
      <c r="C11" s="23" t="inlineStr">
        <is>
          <t>/home/projects/cu_10181/people/s144334/data/rhapsody_F2833/Undetermined_S0_R1_001.fastq.gz</t>
        </is>
      </c>
      <c r="D11" s="23" t="inlineStr">
        <is>
          <t>/work/data_migration/julzim_rhapsody_F2833/Undetermined_S0_R1_001.fastq.gz</t>
        </is>
      </c>
      <c r="E11" s="13" t="n">
        <v>1</v>
      </c>
      <c r="F11" s="14" t="n">
        <v>6.1</v>
      </c>
      <c r="G11" s="11" t="inlineStr">
        <is>
          <t>PASS</t>
        </is>
      </c>
      <c r="H11" s="23" t="inlineStr">
        <is>
          <t>1d088689530c9d2150ac197ca95b6b81</t>
        </is>
      </c>
      <c r="I11" s="23" t="inlineStr">
        <is>
          <t>Undetermined_S0_R1_001.fastq.gz</t>
        </is>
      </c>
    </row>
    <row r="12" ht="22" customHeight="1">
      <c r="A12" s="7" t="inlineStr">
        <is>
          <t>julzim_rhapsody_Undetermined_R2</t>
        </is>
      </c>
      <c r="B12" s="7" t="inlineStr">
        <is>
          <t>Julie (julzim)</t>
        </is>
      </c>
      <c r="C12" s="22" t="inlineStr">
        <is>
          <t>/home/projects/cu_10181/people/s144334/data/rhapsody_F2833/Undetermined_S0_R2_001.fastq.gz</t>
        </is>
      </c>
      <c r="D12" s="22" t="inlineStr">
        <is>
          <t>/work/data_migration/julzim_rhapsody_F2833/Undetermined_S0_R2_001.fastq.gz</t>
        </is>
      </c>
      <c r="E12" s="8" t="n">
        <v>1</v>
      </c>
      <c r="F12" s="9" t="n">
        <v>6.2</v>
      </c>
      <c r="G12" s="11" t="inlineStr">
        <is>
          <t>PASS</t>
        </is>
      </c>
      <c r="H12" s="22" t="inlineStr">
        <is>
          <t>d41d8cd98f00b204e9800998ecf8427e</t>
        </is>
      </c>
      <c r="I12" s="22" t="inlineStr">
        <is>
          <t>Undetermined_S0_R2_001.fastq.gz</t>
        </is>
      </c>
    </row>
    <row r="13" ht="22" customHeight="1">
      <c r="A13" s="12" t="inlineStr">
        <is>
          <t>julzim_GEO_F2833</t>
        </is>
      </c>
      <c r="B13" s="12" t="inlineStr">
        <is>
          <t>Julie (julzim)</t>
        </is>
      </c>
      <c r="C13" s="23" t="inlineStr">
        <is>
          <t>/home/projects/cu_10181/people/s144334/data/GEO/F2833</t>
        </is>
      </c>
      <c r="D13" s="23" t="inlineStr">
        <is>
          <t>/work/data_migration/julzim_GEO_F2833</t>
        </is>
      </c>
      <c r="E13" s="13" t="n">
        <v>7</v>
      </c>
      <c r="F13" s="14" t="n">
        <v>43</v>
      </c>
      <c r="G13" s="11" t="inlineStr">
        <is>
          <t>PASS</t>
        </is>
      </c>
      <c r="H13" s="23" t="inlineStr">
        <is>
          <t>c52299a598ad8031be5f54bdeebcec46</t>
        </is>
      </c>
      <c r="I13" s="23" t="inlineStr">
        <is>
          <t>B_DBEC_MolsPerCell_Unfiltered.csv.gz</t>
        </is>
      </c>
    </row>
    <row r="14" ht="22" customHeight="1">
      <c r="A14" s="7" t="inlineStr">
        <is>
          <t>julzim_BHYG7TDRX2_run_raw_BCL</t>
        </is>
      </c>
      <c r="B14" s="7" t="inlineStr">
        <is>
          <t>Julie (julzim)</t>
        </is>
      </c>
      <c r="C14" s="22" t="inlineStr">
        <is>
          <t>/home/projects/cu_10181/people/s144334/data/230315_A00962_0093_BHYG7TDRX2</t>
        </is>
      </c>
      <c r="D14" s="22" t="inlineStr">
        <is>
          <t>/work/data_migration/julzim_BHYG7TDRX2_run</t>
        </is>
      </c>
      <c r="E14" s="8" t="n">
        <v>2584</v>
      </c>
      <c r="F14" s="9" t="n">
        <v>37</v>
      </c>
      <c r="G14" s="11" t="inlineStr">
        <is>
          <t>PASS</t>
        </is>
      </c>
      <c r="H14" s="22" t="inlineStr">
        <is>
          <t>9a59d312237e1c5af3e1bc745335b707</t>
        </is>
      </c>
      <c r="I14" s="22" t="inlineStr">
        <is>
          <t>Effective.cfg</t>
        </is>
      </c>
    </row>
    <row r="15" ht="22" customHeight="1">
      <c r="A15" s="12" t="inlineStr">
        <is>
          <t>julzim_GEO_F2702</t>
        </is>
      </c>
      <c r="B15" s="12" t="inlineStr">
        <is>
          <t>Julie (julzim)</t>
        </is>
      </c>
      <c r="C15" s="23" t="inlineStr">
        <is>
          <t>/home/projects/cu_10181/people/s144334/data/GEO/F2702</t>
        </is>
      </c>
      <c r="D15" s="23" t="inlineStr">
        <is>
          <t>/work/data_migration/julzim_GEO_F2702</t>
        </is>
      </c>
      <c r="E15" s="13" t="n">
        <v>19</v>
      </c>
      <c r="F15" s="14" t="n">
        <v>20</v>
      </c>
      <c r="G15" s="11" t="inlineStr">
        <is>
          <t>PASS</t>
        </is>
      </c>
      <c r="H15" s="23" t="inlineStr">
        <is>
          <t>adb8f8668cc464ef214c07f65f344246</t>
        </is>
      </c>
      <c r="I15" s="23" t="inlineStr">
        <is>
          <t>GEO_upload_F2702_bulkRNAseq_v2.xlsx</t>
        </is>
      </c>
    </row>
    <row r="16" ht="22" customHeight="1">
      <c r="A16" s="7" t="inlineStr">
        <is>
          <t>julzim_YFP_F2702_fastq</t>
        </is>
      </c>
      <c r="B16" s="7" t="inlineStr">
        <is>
          <t>Julie (julzim)</t>
        </is>
      </c>
      <c r="C16" s="22" t="inlineStr">
        <is>
          <t>/home/projects/cu_10181/people/s144334/data/YFP_F2702/fastq_files</t>
        </is>
      </c>
      <c r="D16" s="22" t="inlineStr">
        <is>
          <t>/work/data_migration/julzim_YFP_F2702/fastq_files</t>
        </is>
      </c>
      <c r="E16" s="8" t="n">
        <v>12</v>
      </c>
      <c r="F16" s="9" t="n">
        <v>20</v>
      </c>
      <c r="G16" s="11" t="inlineStr">
        <is>
          <t>PASS</t>
        </is>
      </c>
      <c r="H16" s="22" t="inlineStr">
        <is>
          <t>227ffdef772a71df940424af5ec0579c</t>
        </is>
      </c>
      <c r="I16" s="22" t="inlineStr">
        <is>
          <t>18134XR-75-13V2_S12_L002_R1_001.fastq.gz</t>
        </is>
      </c>
    </row>
    <row r="17" ht="24" customHeight="1">
      <c r="A17" s="16" t="inlineStr">
        <is>
          <t>TOTAL PRIMARY DATASETS</t>
        </is>
      </c>
      <c r="B17" s="24" t="n"/>
      <c r="C17" s="24" t="n"/>
      <c r="D17" s="24" t="n"/>
      <c r="E17" s="17">
        <f>SUM(E2:E16)</f>
        <v/>
      </c>
      <c r="F17" s="18">
        <f>SUM(F2:F16)</f>
        <v/>
      </c>
      <c r="G17" s="20" t="inlineStr">
        <is>
          <t>ALL VERIFIED</t>
        </is>
      </c>
      <c r="H17" s="24" t="n"/>
      <c r="I17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75" customWidth="1" min="3" max="3"/>
    <col width="75" customWidth="1" min="4" max="4"/>
    <col width="14" customWidth="1" min="5" max="5"/>
    <col width="38" customWidth="1" min="6" max="6"/>
    <col width="18" customWidth="1" min="7" max="7"/>
  </cols>
  <sheetData>
    <row r="1" ht="30" customHeight="1">
      <c r="A1" s="6" t="inlineStr">
        <is>
          <t>File Name</t>
        </is>
      </c>
      <c r="B1" s="6" t="inlineStr">
        <is>
          <t>Dataset Group</t>
        </is>
      </c>
      <c r="C1" s="6" t="inlineStr">
        <is>
          <t>Original Computerome Path (Mode 700)</t>
        </is>
      </c>
      <c r="D1" s="6" t="inlineStr">
        <is>
          <t>Verified UCloud Path (/work/data_migration)</t>
        </is>
      </c>
      <c r="E1" s="6" t="inlineStr">
        <is>
          <t>File Size</t>
        </is>
      </c>
      <c r="F1" s="6" t="inlineStr">
        <is>
          <t>Exact MD5 Checksum (RFC 1321)</t>
        </is>
      </c>
      <c r="G1" s="6" t="inlineStr">
        <is>
          <t>Verification Status</t>
        </is>
      </c>
    </row>
    <row r="2" ht="22" customHeight="1">
      <c r="A2" s="7" t="inlineStr">
        <is>
          <t>GEO_upload_F2702_bulkRNAseq_v2.xlsx</t>
        </is>
      </c>
      <c r="B2" s="10" t="inlineStr">
        <is>
          <t>GEO F2702</t>
        </is>
      </c>
      <c r="C2" s="22" t="inlineStr">
        <is>
          <t>/home/projects/cu_10181/people/s144334/data/GEO/F2702/GEO_upload_F2702_bulkRNAseq_v2.xlsx</t>
        </is>
      </c>
      <c r="D2" s="22" t="inlineStr">
        <is>
          <t>/work/data_migration/julzim_GEO_F2702/GEO_upload_F2702_bulkRNAseq_v2.xlsx</t>
        </is>
      </c>
      <c r="E2" s="25" t="inlineStr">
        <is>
          <t>136 KB</t>
        </is>
      </c>
      <c r="F2" s="26" t="inlineStr">
        <is>
          <t>adb8f8668cc464ef214c07f65f344246</t>
        </is>
      </c>
      <c r="G2" s="11" t="inlineStr">
        <is>
          <t>VERIFIED</t>
        </is>
      </c>
    </row>
    <row r="3" ht="22" customHeight="1">
      <c r="A3" s="12" t="inlineStr">
        <is>
          <t>18134XR-75-13V2-S12_CAF01_counts.txt</t>
        </is>
      </c>
      <c r="B3" s="15" t="inlineStr">
        <is>
          <t>GEO F2702</t>
        </is>
      </c>
      <c r="C3" s="23" t="inlineStr">
        <is>
          <t>/home/projects/cu_10181/people/s144334/data/GEO/F2702/18134XR-75-13V2-S12_CAF01_counts.txt</t>
        </is>
      </c>
      <c r="D3" s="23" t="inlineStr">
        <is>
          <t>/work/data_migration/julzim_GEO_F2702/18134XR-75-13V2-S12_CAF01_counts.txt</t>
        </is>
      </c>
      <c r="E3" s="27" t="inlineStr">
        <is>
          <t>484 KB</t>
        </is>
      </c>
      <c r="F3" s="28" t="inlineStr">
        <is>
          <t>919e3b343c9a743503a67c66134cdfed</t>
        </is>
      </c>
      <c r="G3" s="11" t="inlineStr">
        <is>
          <t>VERIFIED</t>
        </is>
      </c>
    </row>
    <row r="4" ht="22" customHeight="1">
      <c r="A4" s="7" t="inlineStr">
        <is>
          <t>18134XR-75-14V2-S13_CAF01_counts.txt</t>
        </is>
      </c>
      <c r="B4" s="10" t="inlineStr">
        <is>
          <t>GEO F2702</t>
        </is>
      </c>
      <c r="C4" s="22" t="inlineStr">
        <is>
          <t>/home/projects/cu_10181/people/s144334/data/GEO/F2702/18134XR-75-14V2-S13_CAF01_counts.txt</t>
        </is>
      </c>
      <c r="D4" s="22" t="inlineStr">
        <is>
          <t>/work/data_migration/julzim_GEO_F2702/18134XR-75-14V2-S13_CAF01_counts.txt</t>
        </is>
      </c>
      <c r="E4" s="25" t="inlineStr">
        <is>
          <t>484 KB</t>
        </is>
      </c>
      <c r="F4" s="26" t="inlineStr">
        <is>
          <t>49ecf83042372402f354f3ea8bcd720f</t>
        </is>
      </c>
      <c r="G4" s="11" t="inlineStr">
        <is>
          <t>VERIFIED</t>
        </is>
      </c>
    </row>
    <row r="5" ht="22" customHeight="1">
      <c r="A5" s="12" t="inlineStr">
        <is>
          <t>18134XR-75-15V2-S14_CAF01_counts.txt</t>
        </is>
      </c>
      <c r="B5" s="15" t="inlineStr">
        <is>
          <t>GEO F2702</t>
        </is>
      </c>
      <c r="C5" s="23" t="inlineStr">
        <is>
          <t>/home/projects/cu_10181/people/s144334/data/GEO/F2702/18134XR-75-15V2-S14_CAF01_counts.txt</t>
        </is>
      </c>
      <c r="D5" s="23" t="inlineStr">
        <is>
          <t>/work/data_migration/julzim_GEO_F2702/18134XR-75-15V2-S14_CAF01_counts.txt</t>
        </is>
      </c>
      <c r="E5" s="27" t="inlineStr">
        <is>
          <t>484 KB</t>
        </is>
      </c>
      <c r="F5" s="28" t="inlineStr">
        <is>
          <t>9371da731541f9247ab045077e970be0</t>
        </is>
      </c>
      <c r="G5" s="11" t="inlineStr">
        <is>
          <t>VERIFIED</t>
        </is>
      </c>
    </row>
    <row r="6" ht="22" customHeight="1">
      <c r="A6" s="7" t="inlineStr">
        <is>
          <t>18134XR-75-16V2-S15_CAF01.CAF16_counts.txt</t>
        </is>
      </c>
      <c r="B6" s="10" t="inlineStr">
        <is>
          <t>GEO F2702</t>
        </is>
      </c>
      <c r="C6" s="22" t="inlineStr">
        <is>
          <t>/home/projects/cu_10181/people/s144334/data/GEO/F2702/18134XR-75-16V2-S15_CAF01.CAF16_counts.txt</t>
        </is>
      </c>
      <c r="D6" s="22" t="inlineStr">
        <is>
          <t>/work/data_migration/julzim_GEO_F2702/18134XR-75-16V2-S15_CAF01.CAF16_counts.txt</t>
        </is>
      </c>
      <c r="E6" s="25" t="inlineStr">
        <is>
          <t>484 KB</t>
        </is>
      </c>
      <c r="F6" s="26" t="inlineStr">
        <is>
          <t>eb72baa8aeac13e4fbce09f18b217f7c</t>
        </is>
      </c>
      <c r="G6" s="11" t="inlineStr">
        <is>
          <t>VERIFIED</t>
        </is>
      </c>
    </row>
    <row r="7" ht="22" customHeight="1">
      <c r="A7" s="12" t="inlineStr">
        <is>
          <t>18134XR-75-17V2-S16_CAF01.CAF16_counts.txt</t>
        </is>
      </c>
      <c r="B7" s="15" t="inlineStr">
        <is>
          <t>GEO F2702</t>
        </is>
      </c>
      <c r="C7" s="23" t="inlineStr">
        <is>
          <t>/home/projects/cu_10181/people/s144334/data/GEO/F2702/18134XR-75-17V2-S16_CAF01.CAF16_counts.txt</t>
        </is>
      </c>
      <c r="D7" s="23" t="inlineStr">
        <is>
          <t>/work/data_migration/julzim_GEO_F2702/18134XR-75-17V2-S16_CAF01.CAF16_counts.txt</t>
        </is>
      </c>
      <c r="E7" s="27" t="inlineStr">
        <is>
          <t>484 KB</t>
        </is>
      </c>
      <c r="F7" s="28" t="inlineStr">
        <is>
          <t>827e5adf4d878bf1f1e5a4d262613473</t>
        </is>
      </c>
      <c r="G7" s="11" t="inlineStr">
        <is>
          <t>VERIFIED</t>
        </is>
      </c>
    </row>
    <row r="8" ht="22" customHeight="1">
      <c r="A8" s="7" t="inlineStr">
        <is>
          <t>18134XR-75-18V2-S17_CAF01.CAF16_counts.txt</t>
        </is>
      </c>
      <c r="B8" s="10" t="inlineStr">
        <is>
          <t>GEO F2702</t>
        </is>
      </c>
      <c r="C8" s="22" t="inlineStr">
        <is>
          <t>/home/projects/cu_10181/people/s144334/data/GEO/F2702/18134XR-75-18V2-S17_CAF01.CAF16_counts.txt</t>
        </is>
      </c>
      <c r="D8" s="22" t="inlineStr">
        <is>
          <t>/work/data_migration/julzim_GEO_F2702/18134XR-75-18V2-S17_CAF01.CAF16_counts.txt</t>
        </is>
      </c>
      <c r="E8" s="25" t="inlineStr">
        <is>
          <t>484 KB</t>
        </is>
      </c>
      <c r="F8" s="26" t="inlineStr">
        <is>
          <t>345dc1fa2199bc75ec26aa6d9ae81949</t>
        </is>
      </c>
      <c r="G8" s="11" t="inlineStr">
        <is>
          <t>VERIFIED</t>
        </is>
      </c>
    </row>
    <row r="9" ht="22" customHeight="1">
      <c r="A9" s="12" t="inlineStr">
        <is>
          <t>GEO_upload_F2833_scRNAseq_v3.xlsx</t>
        </is>
      </c>
      <c r="B9" s="15" t="inlineStr">
        <is>
          <t>GEO F2833</t>
        </is>
      </c>
      <c r="C9" s="23" t="inlineStr">
        <is>
          <t>/home/projects/cu_10181/people/s144334/data/GEO/F2833/GEO_upload_F2833_scRNAseq_v3.xlsx</t>
        </is>
      </c>
      <c r="D9" s="23" t="inlineStr">
        <is>
          <t>/work/data_migration/julzim_GEO_F2833/GEO_upload_F2833_scRNAseq_v3.xlsx</t>
        </is>
      </c>
      <c r="E9" s="27" t="inlineStr">
        <is>
          <t>132 KB</t>
        </is>
      </c>
      <c r="F9" s="28" t="inlineStr">
        <is>
          <t>832d167ea2404ccfa07a15804eb4ea55</t>
        </is>
      </c>
      <c r="G9" s="11" t="inlineStr">
        <is>
          <t>VERIFIED</t>
        </is>
      </c>
    </row>
    <row r="10" ht="22" customHeight="1">
      <c r="A10" s="7" t="inlineStr">
        <is>
          <t>B_DBEC_MolsPerCell_Unfiltered.csv.gz</t>
        </is>
      </c>
      <c r="B10" s="10" t="inlineStr">
        <is>
          <t>GEO F2833</t>
        </is>
      </c>
      <c r="C10" s="22" t="inlineStr">
        <is>
          <t>/home/projects/cu_10181/people/s144334/data/GEO/F2833/B_DBEC_MolsPerCell_Unfiltered.csv.gz</t>
        </is>
      </c>
      <c r="D10" s="22" t="inlineStr">
        <is>
          <t>/work/data_migration/julzim_GEO_F2833/B_DBEC_MolsPerCell_Unfiltered.csv.gz</t>
        </is>
      </c>
      <c r="E10" s="25" t="inlineStr">
        <is>
          <t>20 MB</t>
        </is>
      </c>
      <c r="F10" s="26" t="inlineStr">
        <is>
          <t>c52299a598ad8031be5f54bdeebcec46</t>
        </is>
      </c>
      <c r="G10" s="11" t="inlineStr">
        <is>
          <t>VERIFIED</t>
        </is>
      </c>
    </row>
    <row r="11" ht="22" customHeight="1">
      <c r="A11" s="12" t="inlineStr">
        <is>
          <t>C_DBEC_MolsPerCell_Unfiltered.csv.gz</t>
        </is>
      </c>
      <c r="B11" s="15" t="inlineStr">
        <is>
          <t>GEO F2833</t>
        </is>
      </c>
      <c r="C11" s="23" t="inlineStr">
        <is>
          <t>/home/projects/cu_10181/people/s144334/data/GEO/F2833/C_DBEC_MolsPerCell_Unfiltered.csv.gz</t>
        </is>
      </c>
      <c r="D11" s="23" t="inlineStr">
        <is>
          <t>/work/data_migration/julzim_GEO_F2833/C_DBEC_MolsPerCell_Unfiltered.csv.gz</t>
        </is>
      </c>
      <c r="E11" s="27" t="inlineStr">
        <is>
          <t>24 MB</t>
        </is>
      </c>
      <c r="F11" s="28" t="inlineStr">
        <is>
          <t>40703c179d66e538576fb6fef13eb10f</t>
        </is>
      </c>
      <c r="G11" s="1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2026-09-07T11:02:49Z</dcterms:created>
  <dcterms:modified xmlns:dcterms="http://purl.org/dc/terms/" xmlns:xsi="http://www.w3.org/2001/XMLSchema-instance" xsi:type="dcterms:W3CDTF">2026-09-07T11:02:49Z</dcterms:modified>
</cp:coreProperties>
</file>